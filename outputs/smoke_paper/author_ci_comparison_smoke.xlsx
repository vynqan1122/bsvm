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034661a5c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d720df1d09f4f2e"/>
    <x:sheet xmlns:r="http://schemas.openxmlformats.org/officeDocument/2006/relationships" name="Deltas" sheetId="2" r:id="Rf44d663a1d86459e"/>
    <x:sheet xmlns:r="http://schemas.openxmlformats.org/officeDocument/2006/relationships" name="Summary" sheetId="3" r:id="Rb7d58ddbcf204ddf"/>
    <x:sheet xmlns:r="http://schemas.openxmlformats.org/officeDocument/2006/relationships" name="Protocol" sheetId="4" r:id="Rb0fb3df1f0fe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i/>
      <x:sz val="11"/>
      <x:color rgb="FF64748B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</x:fills>
  <x:borders count="42">
    <x:border/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CBD5E1"/>
      </x:bottom>
    </x:border>
    <x:border>
      <x:top style="thin">
        <x:color rgb="FF0F766E"/>
      </x:top>
      <x:bottom style="thin">
        <x:color rgb="FFCBD5E1"/>
      </x:bottom>
    </x:border>
    <x:border>
      <x:left style="thin">
        <x:color rgb="FF0F766E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CBD5E1"/>
      </x:bottom>
    </x:border>
    <x:border>
      <x:top style="thin">
        <x:color rgb="FF0F766E"/>
      </x:top>
      <x:bottom style="thin">
        <x:color rgb="FFCBD5E1"/>
      </x:bottom>
    </x:border>
    <x:border>
      <x:left style="thin">
        <x:color rgb="FF0F766E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bottom style="thin">
        <x:color rgb="FFCBD5E1"/>
      </x:bottom>
    </x:border>
    <x:border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bottom style="thin">
        <x:color rgb="FFCBD5E1"/>
      </x:bottom>
    </x:border>
    <x:border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3" fillId="0" borderId="10" xfId="0" applyNumberFormat="1" applyFont="1" applyFill="1" applyBorder="1"/>
    <x:xf numFmtId="200" fontId="3" fillId="0" borderId="11" xfId="0" applyNumberFormat="1" applyFont="1" applyFill="1" applyBorder="1"/>
    <x:xf numFmtId="200" fontId="3" fillId="0" borderId="12" xfId="0" applyNumberFormat="1" applyFont="1" applyFill="1" applyBorder="1"/>
    <x:xf numFmtId="200" fontId="3" fillId="0" borderId="13" xfId="0" applyNumberFormat="1" applyFont="1" applyFill="1" applyBorder="1"/>
    <x:xf numFmtId="201" fontId="3" fillId="0" borderId="8" xfId="0" applyNumberFormat="1" applyFont="1" applyFill="1" applyBorder="1"/>
    <x:xf numFmtId="201" fontId="3" fillId="0" borderId="9" xfId="0" applyNumberFormat="1" applyFont="1" applyFill="1" applyBorder="1"/>
    <x:xf numFmtId="201" fontId="3" fillId="0" borderId="10" xfId="0" applyNumberFormat="1" applyFont="1" applyFill="1" applyBorder="1"/>
    <x:xf numFmtId="201" fontId="3" fillId="0" borderId="11" xfId="0" applyNumberFormat="1" applyFont="1" applyFill="1" applyBorder="1"/>
    <x:xf numFmtId="201" fontId="3" fillId="0" borderId="12" xfId="0" applyNumberFormat="1" applyFont="1" applyFill="1" applyBorder="1"/>
    <x:xf numFmtId="201" fontId="3" fillId="0" borderId="13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4" xfId="0" applyNumberFormat="1" applyFont="1" applyFill="1" applyBorder="1"/>
    <x:xf numFmtId="0" fontId="1" fillId="4" borderId="15" xfId="0" applyNumberFormat="1" applyFont="1" applyFill="1" applyBorder="1"/>
    <x:xf numFmtId="0" fontId="1" fillId="4" borderId="16" xfId="0" applyNumberFormat="1" applyFont="1" applyFill="1" applyBorder="1"/>
    <x:xf numFmtId="0" fontId="1" fillId="4" borderId="17" xfId="0" applyNumberFormat="1" applyFont="1" applyFill="1" applyBorder="1"/>
    <x:xf numFmtId="0" fontId="1" fillId="4" borderId="18" xfId="0" applyNumberFormat="1" applyFont="1" applyFill="1" applyBorder="1"/>
    <x:xf numFmtId="0" fontId="1" fillId="4" borderId="19" xfId="0" applyNumberFormat="1" applyFont="1" applyFill="1" applyBorder="1"/>
    <x:xf numFmtId="0" fontId="1" fillId="4" borderId="14" xfId="0" applyNumberFormat="1" applyFont="1" applyFill="1" applyBorder="1" applyAlignment="1">
      <x:alignment wrapText="1"/>
    </x:xf>
    <x:xf numFmtId="0" fontId="1" fillId="4" borderId="15" xfId="0" applyNumberFormat="1" applyFont="1" applyFill="1" applyBorder="1" applyAlignment="1">
      <x:alignment wrapText="1"/>
    </x:xf>
    <x:xf numFmtId="0" fontId="1" fillId="4" borderId="16" xfId="0" applyNumberFormat="1" applyFont="1" applyFill="1" applyBorder="1" applyAlignment="1">
      <x:alignment wrapText="1"/>
    </x:xf>
    <x:xf numFmtId="0" fontId="1" fillId="4" borderId="17" xfId="0" applyNumberFormat="1" applyFont="1" applyFill="1" applyBorder="1" applyAlignment="1">
      <x:alignment wrapText="1"/>
    </x:xf>
    <x:xf numFmtId="0" fontId="1" fillId="4" borderId="18" xfId="0" applyNumberFormat="1" applyFont="1" applyFill="1" applyBorder="1" applyAlignment="1">
      <x:alignment wrapText="1"/>
    </x:xf>
    <x:xf numFmtId="0" fontId="1" fillId="4" borderId="1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4" borderId="20" xfId="0" applyNumberFormat="1" applyFont="1" applyFill="1" applyBorder="1" applyAlignment="1">
      <x:alignment wrapText="1"/>
    </x:xf>
    <x:xf numFmtId="0" fontId="1" fillId="4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1" fontId="0" fillId="0" borderId="23" xfId="0" applyNumberFormat="1" applyFont="1" applyFill="1" applyBorder="1"/>
    <x:xf numFmtId="200" fontId="0" fillId="0" borderId="23" xfId="0" applyNumberFormat="1" applyFont="1" applyFill="1" applyBorder="1"/>
    <x:xf numFmtId="0" fontId="1" fillId="4" borderId="24" xfId="0" applyNumberFormat="1" applyFont="1" applyFill="1" applyBorder="1" applyAlignment="1">
      <x:alignment wrapText="1"/>
    </x:xf>
    <x:xf numFmtId="0" fontId="1" fillId="4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1" fontId="0" fillId="0" borderId="27" xfId="0" applyNumberFormat="1" applyFont="1" applyFill="1" applyBorder="1"/>
    <x:xf numFmtId="200" fontId="0" fillId="0" borderId="27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28" xfId="0" applyNumberFormat="1" applyFont="1" applyFill="1" applyBorder="1" applyAlignment="1">
      <x:alignment wrapText="1"/>
    </x:xf>
    <x:xf numFmtId="0" fontId="1" fillId="4" borderId="29" xfId="0" applyNumberFormat="1" applyFont="1" applyFill="1" applyBorder="1" applyAlignment="1">
      <x:alignment wrapText="1"/>
    </x:xf>
    <x:xf numFmtId="0" fontId="1" fillId="4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1" fontId="0" fillId="0" borderId="32" xfId="0" applyNumberFormat="1" applyFont="1" applyFill="1" applyBorder="1"/>
    <x:xf numFmtId="20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1" fillId="4" borderId="34" xfId="0" applyNumberFormat="1" applyFont="1" applyFill="1" applyBorder="1" applyAlignment="1">
      <x:alignment wrapText="1"/>
    </x:xf>
    <x:xf numFmtId="0" fontId="1" fillId="4" borderId="35" xfId="0" applyNumberFormat="1" applyFont="1" applyFill="1" applyBorder="1" applyAlignment="1">
      <x:alignment wrapText="1"/>
    </x:xf>
    <x:xf numFmtId="0" fontId="1" fillId="4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201" fontId="0" fillId="0" borderId="38" xfId="0" applyNumberFormat="1" applyFont="1" applyFill="1" applyBorder="1"/>
    <x:xf numFmtId="20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1" fillId="4" borderId="40" xfId="0" applyNumberFormat="1" applyFont="1" applyFill="1" applyBorder="1"/>
    <x:xf numFmtId="0" fontId="7" fillId="5" borderId="23" xfId="0" applyNumberFormat="1" applyFont="1" applyFill="1" applyBorder="1"/>
    <x:xf numFmtId="0" fontId="1" fillId="4" borderId="41" xfId="0" applyNumberFormat="1" applyFont="1" applyFill="1" applyBorder="1"/>
    <x:xf numFmtId="0" fontId="7" fillId="5" borderId="27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d9739de684243" /><Relationship Type="http://schemas.openxmlformats.org/officeDocument/2006/relationships/theme" Target="/xl/theme/theme1.xml" Id="R634386b7e8aa4ffc" /><Relationship Type="http://schemas.openxmlformats.org/officeDocument/2006/relationships/sharedStrings" Target="/xl/sharedStrings.xml" Id="R08e9915f484548c7" /><Relationship Type="http://schemas.openxmlformats.org/officeDocument/2006/relationships/worksheet" Target="/xl/worksheets/sheet1.xml" Id="R5d720df1d09f4f2e" /><Relationship Type="http://schemas.openxmlformats.org/officeDocument/2006/relationships/worksheet" Target="/xl/worksheets/sheet2.xml" Id="Rf44d663a1d86459e" /><Relationship Type="http://schemas.openxmlformats.org/officeDocument/2006/relationships/worksheet" Target="/xl/worksheets/sheet3.xml" Id="Rb7d58ddbcf204ddf" /><Relationship Type="http://schemas.openxmlformats.org/officeDocument/2006/relationships/worksheet" Target="/xl/worksheets/sheet4.xml" Id="Rb0fb3df1f0fe43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76c8f8365448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objective delta vs author_original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algorithm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'Summary'!$B$5:$B$7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objective delta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'Summary'!$C$5:$C$7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76c8f8365448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ltsTable" displayName="ResultsTable" ref="A1:AS5" headerRowCount="1" totalsRowCount="0" totalsRowShown="0">
  <x:autoFilter ref="A1:AS5"/>
  <x:tableColumns count="45">
    <x:tableColumn id="1" name="dataset"/>
    <x:tableColumn id="2" name="paper_name"/>
    <x:tableColumn id="3" name="paper_group"/>
    <x:tableColumn id="4" name="kernel"/>
    <x:tableColumn id="5" name="variant"/>
    <x:tableColumn id="6" name="algorithm"/>
    <x:tableColumn id="7" name="status"/>
    <x:tableColumn id="8" name="error"/>
    <x:tableColumn id="9" name="n_samples"/>
    <x:tableColumn id="10" name="n_features"/>
    <x:tableColumn id="11" name="n_classes"/>
    <x:tableColumn id="12" name="binary_problems"/>
    <x:tableColumn id="13" name="validation_metric"/>
    <x:tableColumn id="14" name="validation_score"/>
    <x:tableColumn id="15" name="selection_objective"/>
    <x:tableColumn id="16" name="selection_utility"/>
    <x:tableColumn id="17" name="minority_label"/>
    <x:tableColumn id="18" name="priority_strategy"/>
    <x:tableColumn id="19" name="insertion_strategy"/>
    <x:tableColumn id="20" name="best_C"/>
    <x:tableColumn id="21" name="best_gamma"/>
    <x:tableColumn id="22" name="best_degree"/>
    <x:tableColumn id="23" name="best_coef0"/>
    <x:tableColumn id="24" name="selected_total"/>
    <x:tableColumn id="25" name="accepted_candidates"/>
    <x:tableColumn id="26" name="rejected_candidates"/>
    <x:tableColumn id="27" name="support_vectors"/>
    <x:tableColumn id="28" name="batch_attempts"/>
    <x:tableColumn id="29" name="model_fits"/>
    <x:tableColumn id="30" name="initial_core_repairs"/>
    <x:tableColumn id="31" name="fit_time_seconds"/>
    <x:tableColumn id="32" name="elapsed_tuning_seconds"/>
    <x:tableColumn id="33" name="accuracy_train"/>
    <x:tableColumn id="34" name="balanced_accuracy_train"/>
    <x:tableColumn id="35" name="precision_macro_train"/>
    <x:tableColumn id="36" name="recall_macro_train"/>
    <x:tableColumn id="37" name="f1_macro_train"/>
    <x:tableColumn id="38" name="minority_f1_train"/>
    <x:tableColumn id="39" name="accuracy_test"/>
    <x:tableColumn id="40" name="balanced_accuracy_test"/>
    <x:tableColumn id="41" name="precision_macro_test"/>
    <x:tableColumn id="42" name="recall_macro_test"/>
    <x:tableColumn id="43" name="f1_macro_test"/>
    <x:tableColumn id="44" name="minority_f1_test"/>
    <x:tableColumn id="45" name="objective_te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tasTable" displayName="DeltasTable" ref="A3:H6" headerRowCount="1" totalsRowCount="0" totalsRowShown="0">
  <x:tableColumns count="8">
    <x:tableColumn id="1" name="variant"/>
    <x:tableColumn id="2" name="algorithm"/>
    <x:tableColumn id="3" name="objective_test_delta"/>
    <x:tableColumn id="4" name="accuracy_test_delta"/>
    <x:tableColumn id="5" name="f1_macro_test_delta"/>
    <x:tableColumn id="6" name="minority_f1_test_delta"/>
    <x:tableColumn id="7" name="support_vectors_delta"/>
    <x:tableColumn id="8" name="model_fits_delt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f57189aa94a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11ceaa444a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b5aa14ffbcf45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4" max="14" width="15" hidden="0" customWidth="1"/>
    <x:col min="16" max="16" width="15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4" hidden="0" customWidth="1"/>
    <x:col min="32" max="32" width="14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8" max="8" width="36" hidden="0" customWidth="1"/>
  </x:cols>
  <x:sheetData>
    <x:row r="1">
      <x:c r="A1" s="24" t="str">
        <x:v>dataset</x:v>
      </x:c>
      <x:c r="B1" s="25" t="str">
        <x:v>paper_name</x:v>
      </x:c>
      <x:c r="C1" s="25" t="str">
        <x:v>paper_group</x:v>
      </x:c>
      <x:c r="D1" s="25" t="str">
        <x:v>kernel</x:v>
      </x:c>
      <x:c r="E1" s="25" t="str">
        <x:v>variant</x:v>
      </x:c>
      <x:c r="F1" s="25" t="str">
        <x:v>algorithm</x:v>
      </x:c>
      <x:c r="G1" s="25" t="str">
        <x:v>status</x:v>
      </x:c>
      <x:c r="H1" s="25" t="str">
        <x:v>error</x:v>
      </x:c>
      <x:c r="I1" s="25" t="str">
        <x:v>n_samples</x:v>
      </x:c>
      <x:c r="J1" s="25" t="str">
        <x:v>n_features</x:v>
      </x:c>
      <x:c r="K1" s="25" t="str">
        <x:v>n_classes</x:v>
      </x:c>
      <x:c r="L1" s="25" t="str">
        <x:v>binary_problems</x:v>
      </x:c>
      <x:c r="M1" s="25" t="str">
        <x:v>validation_metric</x:v>
      </x:c>
      <x:c r="N1" s="25" t="str">
        <x:v>validation_score</x:v>
      </x:c>
      <x:c r="O1" s="25" t="str">
        <x:v>selection_objective</x:v>
      </x:c>
      <x:c r="P1" s="25" t="str">
        <x:v>selection_utility</x:v>
      </x:c>
      <x:c r="Q1" s="25" t="str">
        <x:v>minority_label</x:v>
      </x:c>
      <x:c r="R1" s="25" t="str">
        <x:v>priority_strategy</x:v>
      </x:c>
      <x:c r="S1" s="25" t="str">
        <x:v>insertion_strategy</x:v>
      </x:c>
      <x:c r="T1" s="25" t="str">
        <x:v>best_C</x:v>
      </x:c>
      <x:c r="U1" s="25" t="str">
        <x:v>best_gamma</x:v>
      </x:c>
      <x:c r="V1" s="25" t="str">
        <x:v>best_degree</x:v>
      </x:c>
      <x:c r="W1" s="25" t="str">
        <x:v>best_coef0</x:v>
      </x:c>
      <x:c r="X1" s="25" t="str">
        <x:v>selected_total</x:v>
      </x:c>
      <x:c r="Y1" s="25" t="str">
        <x:v>accepted_candidates</x:v>
      </x:c>
      <x:c r="Z1" s="25" t="str">
        <x:v>rejected_candidates</x:v>
      </x:c>
      <x:c r="AA1" s="25" t="str">
        <x:v>support_vectors</x:v>
      </x:c>
      <x:c r="AB1" s="25" t="str">
        <x:v>batch_attempts</x:v>
      </x:c>
      <x:c r="AC1" s="25" t="str">
        <x:v>model_fits</x:v>
      </x:c>
      <x:c r="AD1" s="25" t="str">
        <x:v>initial_core_repairs</x:v>
      </x:c>
      <x:c r="AE1" s="25" t="str">
        <x:v>fit_time_seconds</x:v>
      </x:c>
      <x:c r="AF1" s="25" t="str">
        <x:v>elapsed_tuning_seconds</x:v>
      </x:c>
      <x:c r="AG1" s="25" t="str">
        <x:v>accuracy_train</x:v>
      </x:c>
      <x:c r="AH1" s="25" t="str">
        <x:v>balanced_accuracy_train</x:v>
      </x:c>
      <x:c r="AI1" s="25" t="str">
        <x:v>precision_macro_train</x:v>
      </x:c>
      <x:c r="AJ1" s="25" t="str">
        <x:v>recall_macro_train</x:v>
      </x:c>
      <x:c r="AK1" s="25" t="str">
        <x:v>f1_macro_train</x:v>
      </x:c>
      <x:c r="AL1" s="25" t="str">
        <x:v>minority_f1_train</x:v>
      </x:c>
      <x:c r="AM1" s="25" t="str">
        <x:v>accuracy_test</x:v>
      </x:c>
      <x:c r="AN1" s="25" t="str">
        <x:v>balanced_accuracy_test</x:v>
      </x:c>
      <x:c r="AO1" s="25" t="str">
        <x:v>precision_macro_test</x:v>
      </x:c>
      <x:c r="AP1" s="25" t="str">
        <x:v>recall_macro_test</x:v>
      </x:c>
      <x:c r="AQ1" s="25" t="str">
        <x:v>f1_macro_test</x:v>
      </x:c>
      <x:c r="AR1" s="25" t="str">
        <x:v>minority_f1_test</x:v>
      </x:c>
      <x:c r="AS1" s="26" t="str">
        <x:v>objective_test</x:v>
      </x:c>
    </x:row>
    <x:row r="2">
      <x:c r="A2" s="32" t="str">
        <x:v>fruitfly</x:v>
      </x:c>
      <x:c r="B2" s="32" t="str">
        <x:v>fruitfly</x:v>
      </x:c>
      <x:c r="C2" s="32" t="str">
        <x:v>experiment_1</x:v>
      </x:c>
      <x:c r="D2" s="32" t="str">
        <x:v>linear</x:v>
      </x:c>
      <x:c r="E2" s="32" t="str">
        <x:v>author_original</x:v>
      </x:c>
      <x:c r="F2" s="32" t="str">
        <x:v>Author original BSVM</x:v>
      </x:c>
      <x:c r="G2" s="32" t="str">
        <x:v>ok</x:v>
      </x:c>
      <x:c r="H2" s="50" t="str"/>
      <x:c r="I2" s="38" t="str">
        <x:v>60</x:v>
      </x:c>
      <x:c r="J2" s="38" t="str">
        <x:v>4</x:v>
      </x:c>
      <x:c r="K2" s="38" t="str">
        <x:v>2</x:v>
      </x:c>
      <x:c r="L2" s="38" t="str">
        <x:v>1</x:v>
      </x:c>
      <x:c r="M2" s="32" t="str">
        <x:v>minority_f1</x:v>
      </x:c>
      <x:c r="N2" s="44" t="str">
        <x:v>0.4</x:v>
      </x:c>
      <x:c r="O2" s="32" t="str">
        <x:v>paper</x:v>
      </x:c>
      <x:c r="P2" s="44" t="str">
        <x:v>0.4</x:v>
      </x:c>
      <x:c r="Q2" s="32" t="str">
        <x:v>N</x:v>
      </x:c>
      <x:c r="R2" s="32" t="str">
        <x:v>author_original</x:v>
      </x:c>
      <x:c r="S2" s="32" t="str">
        <x:v>sequential</x:v>
      </x:c>
      <x:c r="T2" s="32" t="str">
        <x:v>10.0</x:v>
      </x:c>
      <x:c r="U2" s="32" t="str">
        <x:v>scale</x:v>
      </x:c>
      <x:c r="V2" s="32" t="str">
        <x:v>3</x:v>
      </x:c>
      <x:c r="W2" s="32" t="str">
        <x:v>0.0</x:v>
      </x:c>
      <x:c r="X2" s="32" t="str">
        <x:v>28</x:v>
      </x:c>
      <x:c r="Y2" s="38" t="str">
        <x:v>10</x:v>
      </x:c>
      <x:c r="Z2" s="38" t="str">
        <x:v>10</x:v>
      </x:c>
      <x:c r="AA2" s="38" t="str">
        <x:v>8</x:v>
      </x:c>
      <x:c r="AB2" s="38" t="str">
        <x:v>20</x:v>
      </x:c>
      <x:c r="AC2" s="38" t="str">
        <x:v>21</x:v>
      </x:c>
      <x:c r="AD2" s="38" t="str">
        <x:v>0</x:v>
      </x:c>
      <x:c r="AE2" s="44" t="str">
        <x:v>0.08453480000025593</x:v>
      </x:c>
      <x:c r="AF2" s="44" t="str">
        <x:v>0.09450479999941308</x:v>
      </x:c>
      <x:c r="AG2" s="44" t="str">
        <x:v>0.8421052631578947</x:v>
      </x:c>
      <x:c r="AH2" s="44" t="str">
        <x:v>0.8347826086956522</x:v>
      </x:c>
      <x:c r="AI2" s="44" t="str">
        <x:v>0.8347826086956522</x:v>
      </x:c>
      <x:c r="AJ2" s="44" t="str">
        <x:v>0.8347826086956522</x:v>
      </x:c>
      <x:c r="AK2" s="44" t="str">
        <x:v>0.8347826086956522</x:v>
      </x:c>
      <x:c r="AL2" s="44" t="str">
        <x:v>0.8</x:v>
      </x:c>
      <x:c r="AM2" s="44" t="str">
        <x:v>0.4166666666666667</x:v>
      </x:c>
      <x:c r="AN2" s="44" t="str">
        <x:v>0.41428571428571426</x:v>
      </x:c>
      <x:c r="AO2" s="44" t="str">
        <x:v>0.41666666666666663</x:v>
      </x:c>
      <x:c r="AP2" s="44" t="str">
        <x:v>0.41428571428571426</x:v>
      </x:c>
      <x:c r="AQ2" s="44" t="str">
        <x:v>0.4125874125874126</x:v>
      </x:c>
      <x:c r="AR2" s="44" t="str">
        <x:v>0.36363636363636365</x:v>
      </x:c>
      <x:c r="AS2" s="32" t="str">
        <x:v>0.36363636363636365</x:v>
      </x:c>
    </x:row>
    <x:row r="3">
      <x:c r="A3" s="33" t="str">
        <x:v>fruitfly</x:v>
      </x:c>
      <x:c r="B3" s="33" t="str">
        <x:v>fruitfly</x:v>
      </x:c>
      <x:c r="C3" s="33" t="str">
        <x:v>experiment_1</x:v>
      </x:c>
      <x:c r="D3" s="33" t="str">
        <x:v>linear</x:v>
      </x:c>
      <x:c r="E3" s="33" t="str">
        <x:v>robust_hybrid</x:v>
      </x:c>
      <x:c r="F3" s="33" t="str">
        <x:v>New 1 - robust_hybrid</x:v>
      </x:c>
      <x:c r="G3" s="33" t="str">
        <x:v>ok</x:v>
      </x:c>
      <x:c r="H3" s="51" t="str"/>
      <x:c r="I3" s="39" t="str">
        <x:v>60</x:v>
      </x:c>
      <x:c r="J3" s="39" t="str">
        <x:v>4</x:v>
      </x:c>
      <x:c r="K3" s="39" t="str">
        <x:v>2</x:v>
      </x:c>
      <x:c r="L3" s="39" t="str">
        <x:v>1</x:v>
      </x:c>
      <x:c r="M3" s="33" t="str">
        <x:v>minority_f1</x:v>
      </x:c>
      <x:c r="N3" s="45" t="str">
        <x:v>0.5</x:v>
      </x:c>
      <x:c r="O3" s="33" t="str">
        <x:v>paper</x:v>
      </x:c>
      <x:c r="P3" s="45" t="str">
        <x:v>0.5</x:v>
      </x:c>
      <x:c r="Q3" s="33" t="str">
        <x:v>N</x:v>
      </x:c>
      <x:c r="R3" s="33" t="str">
        <x:v>robust_hybrid</x:v>
      </x:c>
      <x:c r="S3" s="33" t="str">
        <x:v>binary_tree</x:v>
      </x:c>
      <x:c r="T3" s="33" t="str">
        <x:v>10.0</x:v>
      </x:c>
      <x:c r="U3" s="33" t="str">
        <x:v>scale</x:v>
      </x:c>
      <x:c r="V3" s="33" t="str">
        <x:v>3</x:v>
      </x:c>
      <x:c r="W3" s="33" t="str">
        <x:v>0.0</x:v>
      </x:c>
      <x:c r="X3" s="33" t="str">
        <x:v>29</x:v>
      </x:c>
      <x:c r="Y3" s="39" t="str">
        <x:v>11</x:v>
      </x:c>
      <x:c r="Z3" s="39" t="str">
        <x:v>9</x:v>
      </x:c>
      <x:c r="AA3" s="39" t="str">
        <x:v>6</x:v>
      </x:c>
      <x:c r="AB3" s="39" t="str">
        <x:v>24</x:v>
      </x:c>
      <x:c r="AC3" s="39" t="str">
        <x:v>25</x:v>
      </x:c>
      <x:c r="AD3" s="39" t="str">
        <x:v>0</x:v>
      </x:c>
      <x:c r="AE3" s="45" t="str">
        <x:v>2.2563365999994858</x:v>
      </x:c>
      <x:c r="AF3" s="45" t="str">
        <x:v>2.2609045000008337</x:v>
      </x:c>
      <x:c r="AG3" s="45" t="str">
        <x:v>0.7894736842105263</x:v>
      </x:c>
      <x:c r="AH3" s="45" t="str">
        <x:v>0.7681159420289855</x:v>
      </x:c>
      <x:c r="AI3" s="45" t="str">
        <x:v>0.7846153846153847</x:v>
      </x:c>
      <x:c r="AJ3" s="45" t="str">
        <x:v>0.7681159420289855</x:v>
      </x:c>
      <x:c r="AK3" s="45" t="str">
        <x:v>0.7738095238095238</x:v>
      </x:c>
      <x:c r="AL3" s="45" t="str">
        <x:v>0.7142857142857143</x:v>
      </x:c>
      <x:c r="AM3" s="45" t="str">
        <x:v>0.5</x:v>
      </x:c>
      <x:c r="AN3" s="45" t="str">
        <x:v>0.4857142857142857</x:v>
      </x:c>
      <x:c r="AO3" s="45" t="str">
        <x:v>0.4857142857142857</x:v>
      </x:c>
      <x:c r="AP3" s="45" t="str">
        <x:v>0.4857142857142857</x:v>
      </x:c>
      <x:c r="AQ3" s="45" t="str">
        <x:v>0.4857142857142857</x:v>
      </x:c>
      <x:c r="AR3" s="45" t="str">
        <x:v>0.4</x:v>
      </x:c>
      <x:c r="AS3" s="33" t="str">
        <x:v>0.4</x:v>
      </x:c>
    </x:row>
    <x:row r="4">
      <x:c r="A4" s="33" t="str">
        <x:v>fruitfly</x:v>
      </x:c>
      <x:c r="B4" s="33" t="str">
        <x:v>fruitfly</x:v>
      </x:c>
      <x:c r="C4" s="33" t="str">
        <x:v>experiment_1</x:v>
      </x:c>
      <x:c r="D4" s="33" t="str">
        <x:v>linear</x:v>
      </x:c>
      <x:c r="E4" s="33" t="str">
        <x:v>user_formula_1</x:v>
      </x:c>
      <x:c r="F4" s="33" t="str">
        <x:v>New 2 - user_formula_1</x:v>
      </x:c>
      <x:c r="G4" s="33" t="str">
        <x:v>ok</x:v>
      </x:c>
      <x:c r="H4" s="51" t="str"/>
      <x:c r="I4" s="39" t="str">
        <x:v>60</x:v>
      </x:c>
      <x:c r="J4" s="39" t="str">
        <x:v>4</x:v>
      </x:c>
      <x:c r="K4" s="39" t="str">
        <x:v>2</x:v>
      </x:c>
      <x:c r="L4" s="39" t="str">
        <x:v>1</x:v>
      </x:c>
      <x:c r="M4" s="33" t="str">
        <x:v>minority_f1</x:v>
      </x:c>
      <x:c r="N4" s="45" t="str">
        <x:v>0.6</x:v>
      </x:c>
      <x:c r="O4" s="33" t="str">
        <x:v>paper</x:v>
      </x:c>
      <x:c r="P4" s="45" t="str">
        <x:v>0.6</x:v>
      </x:c>
      <x:c r="Q4" s="33" t="str">
        <x:v>N</x:v>
      </x:c>
      <x:c r="R4" s="33" t="str">
        <x:v>user_formula_1</x:v>
      </x:c>
      <x:c r="S4" s="33" t="str">
        <x:v>binary_tree</x:v>
      </x:c>
      <x:c r="T4" s="33" t="str">
        <x:v>10.0</x:v>
      </x:c>
      <x:c r="U4" s="33" t="str">
        <x:v>scale</x:v>
      </x:c>
      <x:c r="V4" s="33" t="str">
        <x:v>3</x:v>
      </x:c>
      <x:c r="W4" s="33" t="str">
        <x:v>0.0</x:v>
      </x:c>
      <x:c r="X4" s="33" t="str">
        <x:v>28</x:v>
      </x:c>
      <x:c r="Y4" s="39" t="str">
        <x:v>10</x:v>
      </x:c>
      <x:c r="Z4" s="39" t="str">
        <x:v>10</x:v>
      </x:c>
      <x:c r="AA4" s="39" t="str">
        <x:v>6</x:v>
      </x:c>
      <x:c r="AB4" s="39" t="str">
        <x:v>22</x:v>
      </x:c>
      <x:c r="AC4" s="39" t="str">
        <x:v>23</x:v>
      </x:c>
      <x:c r="AD4" s="39" t="str">
        <x:v>0</x:v>
      </x:c>
      <x:c r="AE4" s="45" t="str">
        <x:v>0.08716160000039963</x:v>
      </x:c>
      <x:c r="AF4" s="45" t="str">
        <x:v>0.091844200000196</x:v>
      </x:c>
      <x:c r="AG4" s="45" t="str">
        <x:v>0.7631578947368421</x:v>
      </x:c>
      <x:c r="AH4" s="45" t="str">
        <x:v>0.7579710144927536</x:v>
      </x:c>
      <x:c r="AI4" s="45" t="str">
        <x:v>0.7528409090909092</x:v>
      </x:c>
      <x:c r="AJ4" s="45" t="str">
        <x:v>0.7579710144927536</x:v>
      </x:c>
      <x:c r="AK4" s="45" t="str">
        <x:v>0.7548387096774194</x:v>
      </x:c>
      <x:c r="AL4" s="45" t="str">
        <x:v>0.7096774193548387</x:v>
      </x:c>
      <x:c r="AM4" s="45" t="str">
        <x:v>0.5</x:v>
      </x:c>
      <x:c r="AN4" s="45" t="str">
        <x:v>0.5142857142857142</x:v>
      </x:c>
      <x:c r="AO4" s="45" t="str">
        <x:v>0.5142857142857142</x:v>
      </x:c>
      <x:c r="AP4" s="45" t="str">
        <x:v>0.5142857142857142</x:v>
      </x:c>
      <x:c r="AQ4" s="45" t="str">
        <x:v>0.5</x:v>
      </x:c>
      <x:c r="AR4" s="45" t="str">
        <x:v>0.5</x:v>
      </x:c>
      <x:c r="AS4" s="33" t="str">
        <x:v>0.5</x:v>
      </x:c>
    </x:row>
    <x:row r="5">
      <x:c r="A5" s="34" t="str">
        <x:v>fruitfly</x:v>
      </x:c>
      <x:c r="B5" s="34" t="str">
        <x:v>fruitfly</x:v>
      </x:c>
      <x:c r="C5" s="34" t="str">
        <x:v>experiment_1</x:v>
      </x:c>
      <x:c r="D5" s="34" t="str">
        <x:v>linear</x:v>
      </x:c>
      <x:c r="E5" s="34" t="str">
        <x:v>user_formula_2</x:v>
      </x:c>
      <x:c r="F5" s="34" t="str">
        <x:v>New 3 - user_formula_2</x:v>
      </x:c>
      <x:c r="G5" s="34" t="str">
        <x:v>ok</x:v>
      </x:c>
      <x:c r="H5" s="52" t="str"/>
      <x:c r="I5" s="40" t="str">
        <x:v>60</x:v>
      </x:c>
      <x:c r="J5" s="40" t="str">
        <x:v>4</x:v>
      </x:c>
      <x:c r="K5" s="40" t="str">
        <x:v>2</x:v>
      </x:c>
      <x:c r="L5" s="40" t="str">
        <x:v>1</x:v>
      </x:c>
      <x:c r="M5" s="34" t="str">
        <x:v>minority_f1</x:v>
      </x:c>
      <x:c r="N5" s="46" t="str">
        <x:v>0.2857142857142857</x:v>
      </x:c>
      <x:c r="O5" s="34" t="str">
        <x:v>paper</x:v>
      </x:c>
      <x:c r="P5" s="46" t="str">
        <x:v>0.2857142857142857</x:v>
      </x:c>
      <x:c r="Q5" s="34" t="str">
        <x:v>N</x:v>
      </x:c>
      <x:c r="R5" s="34" t="str">
        <x:v>user_formula_2</x:v>
      </x:c>
      <x:c r="S5" s="34" t="str">
        <x:v>binary_tree</x:v>
      </x:c>
      <x:c r="T5" s="34" t="str">
        <x:v>10.0</x:v>
      </x:c>
      <x:c r="U5" s="34" t="str">
        <x:v>scale</x:v>
      </x:c>
      <x:c r="V5" s="34" t="str">
        <x:v>3</x:v>
      </x:c>
      <x:c r="W5" s="34" t="str">
        <x:v>0.0</x:v>
      </x:c>
      <x:c r="X5" s="34" t="str">
        <x:v>28</x:v>
      </x:c>
      <x:c r="Y5" s="40" t="str">
        <x:v>10</x:v>
      </x:c>
      <x:c r="Z5" s="40" t="str">
        <x:v>10</x:v>
      </x:c>
      <x:c r="AA5" s="40" t="str">
        <x:v>5</x:v>
      </x:c>
      <x:c r="AB5" s="40" t="str">
        <x:v>24</x:v>
      </x:c>
      <x:c r="AC5" s="40" t="str">
        <x:v>25</x:v>
      </x:c>
      <x:c r="AD5" s="40" t="str">
        <x:v>0</x:v>
      </x:c>
      <x:c r="AE5" s="46" t="str">
        <x:v>0.07391920000009122</x:v>
      </x:c>
      <x:c r="AF5" s="46" t="str">
        <x:v>0.07747360000030312</x:v>
      </x:c>
      <x:c r="AG5" s="46" t="str">
        <x:v>0.7631578947368421</x:v>
      </x:c>
      <x:c r="AH5" s="46" t="str">
        <x:v>0.7231884057971014</x:v>
      </x:c>
      <x:c r="AI5" s="46" t="str">
        <x:v>0.775</x:v>
      </x:c>
      <x:c r="AJ5" s="46" t="str">
        <x:v>0.7231884057971014</x:v>
      </x:c>
      <x:c r="AK5" s="46" t="str">
        <x:v>0.7317647058823529</x:v>
      </x:c>
      <x:c r="AL5" s="46" t="str">
        <x:v>0.64</x:v>
      </x:c>
      <x:c r="AM5" s="46" t="str">
        <x:v>0.5</x:v>
      </x:c>
      <x:c r="AN5" s="46" t="str">
        <x:v>0.4857142857142857</x:v>
      </x:c>
      <x:c r="AO5" s="46" t="str">
        <x:v>0.4857142857142857</x:v>
      </x:c>
      <x:c r="AP5" s="46" t="str">
        <x:v>0.4857142857142857</x:v>
      </x:c>
      <x:c r="AQ5" s="46" t="str">
        <x:v>0.4857142857142857</x:v>
      </x:c>
      <x:c r="AR5" s="46" t="str">
        <x:v>0.4</x:v>
      </x:c>
      <x:c r="AS5" s="34" t="str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1d1f57189aa94a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</x:cols>
  <x:sheetData>
    <x:row r="1">
      <x:c r="A1" s="58" t="str">
        <x:v>Deltas of each new c_i variant versus Author original BSVM</x:v>
      </x:c>
      <x:c r="B1" s="58"/>
      <x:c r="C1" s="58"/>
      <x:c r="D1" s="58"/>
      <x:c r="E1" s="58"/>
      <x:c r="F1" s="58"/>
      <x:c r="G1" s="58"/>
      <x:c r="H1" s="58"/>
    </x:row>
    <x:row r="2">
      <x:c r="A2" s="62" t="str">
        <x:v>Positive metric deltas are better; negative support-vector/model-fit deltas are better. Smoke data only.</x:v>
      </x:c>
      <x:c r="B2" s="62"/>
      <x:c r="C2" s="62"/>
      <x:c r="D2" s="62"/>
      <x:c r="E2" s="62"/>
      <x:c r="F2" s="62"/>
      <x:c r="G2" s="62"/>
      <x:c r="H2" s="62"/>
    </x:row>
    <x:row r="3">
      <x:c r="A3" s="84" t="str">
        <x:v>variant</x:v>
      </x:c>
      <x:c r="B3" s="85" t="str">
        <x:v>algorithm</x:v>
      </x:c>
      <x:c r="C3" s="85" t="str">
        <x:v>objective_test_delta</x:v>
      </x:c>
      <x:c r="D3" s="85" t="str">
        <x:v>accuracy_test_delta</x:v>
      </x:c>
      <x:c r="E3" s="85" t="str">
        <x:v>f1_macro_test_delta</x:v>
      </x:c>
      <x:c r="F3" s="85" t="str">
        <x:v>minority_f1_test_delta</x:v>
      </x:c>
      <x:c r="G3" s="85" t="str">
        <x:v>support_vectors_delta</x:v>
      </x:c>
      <x:c r="H3" s="85" t="str">
        <x:v>model_fits_delta</x:v>
      </x:c>
    </x:row>
    <x:row r="4">
      <x:c r="A4" s="86" t="str">
        <x:v>robust_hybrid</x:v>
      </x:c>
      <x:c r="B4" s="87" t="str">
        <x:v>New 1 - robust_hybrid</x:v>
      </x:c>
      <x:c r="C4" s="88" t="n">
        <x:f>'Results'!AS3-'Results'!AS2</x:f>
        <x:v>0.036363636363636376</x:v>
      </x:c>
      <x:c r="D4" s="88" t="n">
        <x:f>'Results'!AM3-'Results'!AM2</x:f>
        <x:v>0.08333333333333331</x:v>
      </x:c>
      <x:c r="E4" s="88" t="n">
        <x:f>'Results'!AQ3-'Results'!AQ2</x:f>
        <x:v>0.0731268731268731</x:v>
      </x:c>
      <x:c r="F4" s="88" t="n">
        <x:f>'Results'!AR3-'Results'!AR2</x:f>
        <x:v>0.036363636363636376</x:v>
      </x:c>
      <x:c r="G4" s="89" t="n">
        <x:f>'Results'!AA3-'Results'!AA2</x:f>
        <x:v>-2</x:v>
      </x:c>
      <x:c r="H4" s="89" t="n">
        <x:f>'Results'!AC3-'Results'!AC2</x:f>
        <x:v>4</x:v>
      </x:c>
    </x:row>
    <x:row r="5">
      <x:c r="A5" s="86" t="str">
        <x:v>user_formula_1</x:v>
      </x:c>
      <x:c r="B5" s="87" t="str">
        <x:v>New 2 - user_formula_1</x:v>
      </x:c>
      <x:c r="C5" s="88" t="n">
        <x:f>'Results'!AS4-'Results'!AS2</x:f>
        <x:v>0.13636363636363635</x:v>
      </x:c>
      <x:c r="D5" s="88" t="n">
        <x:f>'Results'!AM4-'Results'!AM2</x:f>
        <x:v>0.08333333333333331</x:v>
      </x:c>
      <x:c r="E5" s="88" t="n">
        <x:f>'Results'!AQ4-'Results'!AQ2</x:f>
        <x:v>0.0874125874125874</x:v>
      </x:c>
      <x:c r="F5" s="88" t="n">
        <x:f>'Results'!AR4-'Results'!AR2</x:f>
        <x:v>0.13636363636363635</x:v>
      </x:c>
      <x:c r="G5" s="89" t="n">
        <x:f>'Results'!AA4-'Results'!AA2</x:f>
        <x:v>-2</x:v>
      </x:c>
      <x:c r="H5" s="89" t="n">
        <x:f>'Results'!AC4-'Results'!AC2</x:f>
        <x:v>2</x:v>
      </x:c>
    </x:row>
    <x:row r="6">
      <x:c r="A6" s="86" t="str">
        <x:v>user_formula_2</x:v>
      </x:c>
      <x:c r="B6" s="87" t="str">
        <x:v>New 3 - user_formula_2</x:v>
      </x:c>
      <x:c r="C6" s="88" t="n">
        <x:f>'Results'!AS5-'Results'!AS2</x:f>
        <x:v>0.036363636363636376</x:v>
      </x:c>
      <x:c r="D6" s="88" t="n">
        <x:f>'Results'!AM5-'Results'!AM2</x:f>
        <x:v>0.08333333333333331</x:v>
      </x:c>
      <x:c r="E6" s="88" t="n">
        <x:f>'Results'!AQ5-'Results'!AQ2</x:f>
        <x:v>0.0731268731268731</x:v>
      </x:c>
      <x:c r="F6" s="88" t="n">
        <x:f>'Results'!AR5-'Results'!AR2</x:f>
        <x:v>0.036363636363636376</x:v>
      </x:c>
      <x:c r="G6" s="89" t="n">
        <x:f>'Results'!AA5-'Results'!AA2</x:f>
        <x:v>-3</x:v>
      </x:c>
      <x:c r="H6" s="89" t="n">
        <x:f>'Results'!AC5-'Results'!AC2</x:f>
        <x:v>4</x:v>
      </x:c>
    </x:row>
  </x:sheetData>
  <x:mergeCells>
    <x:mergeCell ref="A1:H1"/>
    <x:mergeCell ref="A2:H2"/>
  </x:mergeCells>
  <x:conditionalFormatting sqref="C4:F6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G4:H6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11ceaa444a42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1" hidden="0" customWidth="1"/>
    <x:col min="4" max="4" width="21" hidden="0" customWidth="1"/>
    <x:col min="5" max="5" width="17" hidden="0" customWidth="1"/>
    <x:col min="6" max="6" width="17" hidden="0" customWidth="1"/>
  </x:cols>
  <x:sheetData>
    <x:row r="1">
      <x:c r="A1" s="98" t="str">
        <x:v>Author BSVM vs three new c_i functions</x:v>
      </x:c>
      <x:c r="B1" s="98"/>
      <x:c r="C1" s="118"/>
      <x:c r="D1" s="118"/>
      <x:c r="E1" s="118"/>
      <x:c r="F1" s="118"/>
    </x:row>
    <x:row r="2">
      <x:c r="A2" s="62" t="str">
        <x:v>Formula-driven smoke comparison. Run the full paper grid before making scientific claims.</x:v>
      </x:c>
      <x:c r="B2" s="62"/>
      <x:c r="C2" s="62"/>
      <x:c r="D2" s="62"/>
      <x:c r="E2" s="62"/>
      <x:c r="F2" s="62"/>
    </x:row>
    <x:row r="4">
      <x:c r="A4" s="102" t="str">
        <x:v>variant</x:v>
      </x:c>
      <x:c r="B4" s="103" t="str">
        <x:v>algorithm</x:v>
      </x:c>
      <x:c r="C4" s="103" t="str">
        <x:v>objective delta</x:v>
      </x:c>
      <x:c r="D4" s="103" t="str">
        <x:v>support-vector delta</x:v>
      </x:c>
      <x:c r="E4" s="103" t="str">
        <x:v>objective result</x:v>
      </x:c>
      <x:c r="F4" s="104" t="str">
        <x:v>SV result</x:v>
      </x:c>
    </x:row>
    <x:row r="5">
      <x:c r="A5" s="105" t="str">
        <x:f>'Deltas'!A4</x:f>
        <x:v>robust_hybrid</x:v>
      </x:c>
      <x:c r="B5" s="106" t="str">
        <x:f>'Deltas'!B4</x:f>
        <x:v>New 1 - robust_hybrid</x:v>
      </x:c>
      <x:c r="C5" s="107" t="n">
        <x:f>'Deltas'!C4</x:f>
        <x:v>0.036363636363636376</x:v>
      </x:c>
      <x:c r="D5" s="108" t="n">
        <x:f>'Deltas'!G4</x:f>
        <x:v>-2</x:v>
      </x:c>
      <x:c r="E5" s="106" t="str">
        <x:f>IF(C5&gt;0,"Win",IF(C5=0,"Tie","Loss"))</x:f>
        <x:v>Win</x:v>
      </x:c>
      <x:c r="F5" s="109" t="str">
        <x:f>IF(D5&lt;0,"Fewer SV",IF(D5=0,"Tie","More SV"))</x:f>
        <x:v>Fewer SV</x:v>
      </x:c>
    </x:row>
    <x:row r="6">
      <x:c r="A6" s="105" t="str">
        <x:f>'Deltas'!A5</x:f>
        <x:v>user_formula_1</x:v>
      </x:c>
      <x:c r="B6" s="106" t="str">
        <x:f>'Deltas'!B5</x:f>
        <x:v>New 2 - user_formula_1</x:v>
      </x:c>
      <x:c r="C6" s="107" t="n">
        <x:f>'Deltas'!C5</x:f>
        <x:v>0.13636363636363635</x:v>
      </x:c>
      <x:c r="D6" s="108" t="n">
        <x:f>'Deltas'!G5</x:f>
        <x:v>-2</x:v>
      </x:c>
      <x:c r="E6" s="106" t="str">
        <x:f>IF(C6&gt;0,"Win",IF(C6=0,"Tie","Loss"))</x:f>
        <x:v>Win</x:v>
      </x:c>
      <x:c r="F6" s="109" t="str">
        <x:f>IF(D6&lt;0,"Fewer SV",IF(D6=0,"Tie","More SV"))</x:f>
        <x:v>Fewer SV</x:v>
      </x:c>
    </x:row>
    <x:row r="7">
      <x:c r="A7" s="105" t="str">
        <x:f>'Deltas'!A6</x:f>
        <x:v>user_formula_2</x:v>
      </x:c>
      <x:c r="B7" s="106" t="str">
        <x:f>'Deltas'!B6</x:f>
        <x:v>New 3 - user_formula_2</x:v>
      </x:c>
      <x:c r="C7" s="107" t="n">
        <x:f>'Deltas'!C6</x:f>
        <x:v>0.036363636363636376</x:v>
      </x:c>
      <x:c r="D7" s="108" t="n">
        <x:f>'Deltas'!G6</x:f>
        <x:v>-3</x:v>
      </x:c>
      <x:c r="E7" s="106" t="str">
        <x:f>IF(C7&gt;0,"Win",IF(C7=0,"Tie","Loss"))</x:f>
        <x:v>Win</x:v>
      </x:c>
      <x:c r="F7" s="109" t="str">
        <x:f>IF(D7&lt;0,"Fewer SV",IF(D7=0,"Tie","More SV"))</x:f>
        <x:v>Fewer SV</x:v>
      </x:c>
    </x:row>
  </x:sheetData>
  <x:mergeCells>
    <x:mergeCell ref="A1:F1"/>
    <x:mergeCell ref="A2:F2"/>
  </x:mergeCells>
  <x:conditionalFormatting sqref="C5:C7">
    <x:cfRule type="colorScale" priority="1">
      <x:colorScale>
        <x:cfvo type="min"/>
        <x:cfvo type="num" val="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drawing xmlns:r="http://schemas.openxmlformats.org/officeDocument/2006/relationships" r:id="Rdb5aa14ffbcf451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>
      <x:c r="A1" s="56" t="str">
        <x:v>Reproducibility protocol and formula definitions</x:v>
      </x:c>
      <x:c r="B1" s="56"/>
    </x:row>
    <x:row r="3">
      <x:c r="A3" s="124" t="str">
        <x:v>Item</x:v>
      </x:c>
      <x:c r="B3" s="124" t="str">
        <x:v>Definition</x:v>
      </x:c>
    </x:row>
    <x:row r="4" ht="34" customHeight="1">
      <x:c r="A4" s="125" t="str">
        <x:v>Split</x:v>
      </x:c>
      <x:c r="B4" s="128" t="str">
        <x:v>80% train+validation / 20% test; then 80/20 inside the first block (64/16/20 overall), stratified, seed 42.</x:v>
      </x:c>
    </x:row>
    <x:row r="5" ht="34" customHeight="1">
      <x:c r="A5" s="125" t="str">
        <x:v>Experiment 1</x:v>
      </x:c>
      <x:c r="B5" s="128" t="str">
        <x:v>Balanced class weights; tune minority-F1 on validation.</x:v>
      </x:c>
    </x:row>
    <x:row r="6" ht="34" customHeight="1">
      <x:c r="A6" s="125" t="str">
        <x:v>Experiment 2</x:v>
      </x:c>
      <x:c r="B6" s="128" t="str">
        <x:v>Equal class weights; tune accuracy on validation.</x:v>
      </x:c>
    </x:row>
    <x:row r="7" ht="34" customHeight="1">
      <x:c r="A7" s="125" t="str">
        <x:v>author_original</x:v>
      </x:c>
      <x:c r="B7" s="128" t="str">
        <x:v>alpha_y / (abs(f(x_i)) + epsilon), sequential insertion.</x:v>
      </x:c>
    </x:row>
    <x:row r="8" ht="34" customHeight="1">
      <x:c r="A8" s="125" t="str">
        <x:v>robust_hybrid</x:v>
      </x:c>
      <x:c r="B8" s="128" t="str">
        <x:v>alpha_y^p * exp(-beta*abs(f)/T) * r_i^gamma * rho_i^delta, binary-tree insertion.</x:v>
      </x:c>
    </x:row>
    <x:row r="9" ht="34" customHeight="1">
      <x:c r="A9" s="125" t="str">
        <x:v>user_formula_1</x:v>
      </x:c>
      <x:c r="B9" s="128" t="str">
        <x:v>R[alpha_y^p * r_i^beta * rho_i^gamma * exp(-abs(1-m_i)/tau)], m_i=y_i*f(x_i).</x:v>
      </x:c>
    </x:row>
    <x:row r="10" ht="34" customHeight="1">
      <x:c r="A10" s="125" t="str">
        <x:v>validation gain</x:v>
      </x:c>
      <x:c r="B10" s="128" t="str">
        <x:v>g_i = mean(1[y_j=y_i]) over the candidate's k nearest validation samples.</x:v>
      </x:c>
    </x:row>
    <x:row r="11" ht="34" customHeight="1">
      <x:c r="A11" s="125" t="str">
        <x:v>user_formula_2</x:v>
      </x:c>
      <x:c r="B11" s="128" t="str">
        <x:v>R[alpha_y^p * r_i^beta * rho_i^gamma * exp(-abs(1-m_i)/tau) * g_i^delta].</x:v>
      </x:c>
    </x:row>
    <x:row r="12" ht="34" customHeight="1">
      <x:c r="A12" s="125" t="str">
        <x:v>Test boundary</x:v>
      </x:c>
      <x:c r="B12" s="128" t="str">
        <x:v>Test features/labels are never used for priority, core repair, or hyperparameter selection.</x:v>
      </x:c>
    </x:row>
    <x:row r="13" ht="34" customHeight="1">
      <x:c r="A13" s="125" t="str">
        <x:v>Sources</x:v>
      </x:c>
      <x:c r="B13" s="128" t="str">
        <x:v>Paper DOI: https://doi.org/10.1016/j.neucom.2026.132629 | Author code: https://github.com/MojtabaMohasel/BSVM.git</x:v>
      </x:c>
    </x:row>
  </x:sheetData>
  <x:mergeCells>
    <x:mergeCell ref="A1:B1"/>
  </x:mergeCells>
  <x:pageMargins left="0.7" right="0.7" top="0.75" bottom="0.75" header="0.3" footer="0.3"/>
</x:worksheet>
</file>